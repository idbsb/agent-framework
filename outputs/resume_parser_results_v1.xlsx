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8bd604a73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简历解析结果" sheetId="1" r:id="R3a742250ee19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02df2e11e4c76" /><Relationship Type="http://schemas.openxmlformats.org/officeDocument/2006/relationships/theme" Target="/xl/theme/theme1.xml" Id="Rff95afc363f34d8d" /><Relationship Type="http://schemas.openxmlformats.org/officeDocument/2006/relationships/sharedStrings" Target="/xl/sharedStrings.xml" Id="Rc451c50d604547fc" /><Relationship Type="http://schemas.openxmlformats.org/officeDocument/2006/relationships/worksheet" Target="/xl/worksheets/sheet1.xml" Id="R3a742250ee194376" /></Relationships>
</file>

<file path=xl/tables/table1.xml><?xml version="1.0" encoding="utf-8"?>
<x:table xmlns:x="http://schemas.openxmlformats.org/spreadsheetml/2006/main" id="1" name="ResumeParserResultsTable" displayName="ResumeParserResultsTable" ref="A1:Q28" headerRowCount="1" totalsRowCount="0" totalsRowShown="0">
  <x:autoFilter ref="A1:Q28"/>
  <x:tableColumns count="17">
    <x:tableColumn id="1" name="简历编号"/>
    <x:tableColumn id="2" name="目标岗位"/>
    <x:tableColumn id="3" name="自动技能"/>
    <x:tableColumn id="4" name="人工技能"/>
    <x:tableColumn id="5" name="正确技能"/>
    <x:tableColumn id="6" name="漏检技能"/>
    <x:tableColumn id="7" name="误检技能"/>
    <x:tableColumn id="8" name="Precision"/>
    <x:tableColumn id="9" name="Recall"/>
    <x:tableColumn id="10" name="F1"/>
    <x:tableColumn id="11" name="学历解析"/>
    <x:tableColumn id="12" name="工作经验解析"/>
    <x:tableColumn id="13" name="是否需人工审核"/>
    <x:tableColumn id="14" name="评测边界"/>
    <x:tableColumn id="15" name="自动技能数"/>
    <x:tableColumn id="16" name="人工技能数"/>
    <x:tableColumn id="17" name="正确技能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5cdb80a0954b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62" hidden="0" customWidth="1"/>
    <x:col min="4" max="4" width="52" hidden="0" customWidth="1"/>
    <x:col min="5" max="5" width="52" hidden="0" customWidth="1"/>
    <x:col min="6" max="6" width="48" hidden="0" customWidth="1"/>
    <x:col min="7" max="7" width="52" hidden="0" customWidth="1"/>
    <x:col min="8" max="8" width="13" hidden="0" customWidth="1"/>
    <x:col min="9" max="9" width="13" hidden="0" customWidth="1"/>
    <x:col min="10" max="10" width="13" hidden="0" customWidth="1"/>
    <x:col min="11" max="11" width="34" hidden="0" customWidth="1"/>
    <x:col min="12" max="12" width="18" hidden="0" customWidth="1"/>
    <x:col min="13" max="13" width="18" hidden="0" customWidth="1"/>
    <x:col min="14" max="14" width="48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2" customHeight="1">
      <x:c r="A1" s="12" t="str">
        <x:v>简历编号</x:v>
      </x:c>
      <x:c r="B1" s="13" t="str">
        <x:v>目标岗位</x:v>
      </x:c>
      <x:c r="C1" s="13" t="str">
        <x:v>自动技能</x:v>
      </x:c>
      <x:c r="D1" s="13" t="str">
        <x:v>人工技能</x:v>
      </x:c>
      <x:c r="E1" s="13" t="str">
        <x:v>正确技能</x:v>
      </x:c>
      <x:c r="F1" s="13" t="str">
        <x:v>漏检技能</x:v>
      </x:c>
      <x:c r="G1" s="13" t="str">
        <x:v>误检技能</x:v>
      </x:c>
      <x:c r="H1" s="13" t="str">
        <x:v>Precision</x:v>
      </x:c>
      <x:c r="I1" s="13" t="str">
        <x:v>Recall</x:v>
      </x:c>
      <x:c r="J1" s="13" t="str">
        <x:v>F1</x:v>
      </x:c>
      <x:c r="K1" s="13" t="str">
        <x:v>学历解析</x:v>
      </x:c>
      <x:c r="L1" s="13" t="str">
        <x:v>工作经验解析</x:v>
      </x:c>
      <x:c r="M1" s="13" t="str">
        <x:v>是否需人工审核</x:v>
      </x:c>
      <x:c r="N1" s="13" t="str">
        <x:v>评测边界</x:v>
      </x:c>
      <x:c r="O1" s="13" t="str">
        <x:v>自动技能数</x:v>
      </x:c>
      <x:c r="P1" s="13" t="str">
        <x:v>人工技能数</x:v>
      </x:c>
      <x:c r="Q1" s="14" t="str">
        <x:v>正确技能数</x:v>
      </x:c>
    </x:row>
    <x:row r="2" ht="68" customHeight="1">
      <x:c r="A2" s="20" t="str">
        <x:v>CV-001-Agent-01</x:v>
      </x:c>
      <x:c r="B2" s="20" t="str">
        <x:v>AI Agent开发工程师</x:v>
      </x:c>
      <x:c r="C2" s="20" t="str">
        <x:v>Docker；Function Calling；LangChain；LangGraph；MCP；Prompt Engineering（提示词工程）；Python；RAG；React；向量数据库</x:v>
      </x:c>
      <x:c r="D2" s="20" t="str">
        <x:v>Function Calling；LangChain；LangGraph；MCP；Prompt Engineering（提示词工程）；React</x:v>
      </x:c>
      <x:c r="E2" s="20" t="str">
        <x:v>Function Calling；LangChain；LangGraph；MCP；Prompt Engineering（提示词工程）；React</x:v>
      </x:c>
      <x:c r="F2" s="20" t="str"/>
      <x:c r="G2" s="20" t="str">
        <x:v>Docker；Python；RAG；向量数据库</x:v>
      </x:c>
      <x:c r="H2" s="22" t="n">
        <x:f>IF(O2=0,IF(P2=0,1,0),Q2/O2)</x:f>
        <x:v>0.6</x:v>
      </x:c>
      <x:c r="I2" s="22" t="n">
        <x:f>IF(P2=0,IF(O2=0,1,0),Q2/P2)</x:f>
        <x:v>1</x:v>
      </x:c>
      <x:c r="J2" s="22" t="n">
        <x:f>IF(H2+I2=0,0,2*H2*I2/(H2+I2))</x:f>
        <x:v>0.7499999999999999</x:v>
      </x:c>
      <x:c r="K2" s="20" t="str">
        <x:v>硕士，人工智能（2024届），北京理工大学</x:v>
      </x:c>
      <x:c r="L2" s="20" t="str">
        <x:v>2年</x:v>
      </x:c>
      <x:c r="M2" s="20" t="str">
        <x:v>否</x:v>
      </x:c>
      <x:c r="N2" s="20" t="str">
        <x:v>人工已具备技能不是完整Gold Standard，指标仅供参考</x:v>
      </x:c>
      <x:c r="O2" s="20" t="n">
        <x:v>10</x:v>
      </x:c>
      <x:c r="P2" s="20" t="n">
        <x:v>6</x:v>
      </x:c>
      <x:c r="Q2" s="20" t="n">
        <x:v>6</x:v>
      </x:c>
    </x:row>
    <x:row r="3" ht="68" customHeight="1">
      <x:c r="A3" s="21" t="str">
        <x:v>CV-002-Agent-02</x:v>
      </x:c>
      <x:c r="B3" s="21" t="str">
        <x:v>AI Agent开发工程师</x:v>
      </x:c>
      <x:c r="C3" s="21" t="str">
        <x:v>Agent Runtime；Docker；Kubernetes；LangChain；LangGraph；MCP；Python；React</x:v>
      </x:c>
      <x:c r="D3" s="21" t="str">
        <x:v>Agent Runtime；LangChain；LangGraph；MCP；React</x:v>
      </x:c>
      <x:c r="E3" s="21" t="str">
        <x:v>Agent Runtime；LangChain；LangGraph；MCP；React</x:v>
      </x:c>
      <x:c r="F3" s="21" t="str"/>
      <x:c r="G3" s="21" t="str">
        <x:v>Docker；Kubernetes；Python</x:v>
      </x:c>
      <x:c r="H3" s="23" t="n">
        <x:f>IF(O3=0,IF(P3=0,1,0),Q3/O3)</x:f>
        <x:v>0.625</x:v>
      </x:c>
      <x:c r="I3" s="23" t="n">
        <x:f>IF(P3=0,IF(O3=0,1,0),Q3/P3)</x:f>
        <x:v>1</x:v>
      </x:c>
      <x:c r="J3" s="23" t="n">
        <x:f>IF(H3+I3=0,0,2*H3*I3/(H3+I3))</x:f>
        <x:v>0.7692307692307693</x:v>
      </x:c>
      <x:c r="K3" s="21" t="str">
        <x:v>硕士，计算机科学，复旦大学</x:v>
      </x:c>
      <x:c r="L3" s="21" t="str">
        <x:v>3年</x:v>
      </x:c>
      <x:c r="M3" s="21" t="str">
        <x:v>否</x:v>
      </x:c>
      <x:c r="N3" s="21" t="str">
        <x:v>人工已具备技能不是完整Gold Standard，指标仅供参考</x:v>
      </x:c>
      <x:c r="O3" s="21" t="n">
        <x:v>8</x:v>
      </x:c>
      <x:c r="P3" s="21" t="n">
        <x:v>5</x:v>
      </x:c>
      <x:c r="Q3" s="21" t="n">
        <x:v>5</x:v>
      </x:c>
    </x:row>
    <x:row r="4" ht="68" customHeight="1">
      <x:c r="A4" s="21" t="str">
        <x:v>CV-003-Agent-03</x:v>
      </x:c>
      <x:c r="B4" s="21" t="str">
        <x:v>AI Agent开发工程师</x:v>
      </x:c>
      <x:c r="C4" s="21" t="str">
        <x:v>Agent Harness；Docker；LangChain；LangGraph；MCP；Python；PyTorch；React；大语言模型（LLM）</x:v>
      </x:c>
      <x:c r="D4" s="21" t="str">
        <x:v>LangChain；LangGraph；MCP；React</x:v>
      </x:c>
      <x:c r="E4" s="21" t="str">
        <x:v>LangChain；LangGraph；MCP；React</x:v>
      </x:c>
      <x:c r="F4" s="21" t="str"/>
      <x:c r="G4" s="21" t="str">
        <x:v>Agent Harness；Docker；Python；PyTorch；大语言模型（LLM）</x:v>
      </x:c>
      <x:c r="H4" s="23" t="n">
        <x:f>IF(O4=0,IF(P4=0,1,0),Q4/O4)</x:f>
        <x:v>0.4444444444444444</x:v>
      </x:c>
      <x:c r="I4" s="23" t="n">
        <x:f>IF(P4=0,IF(O4=0,1,0),Q4/P4)</x:f>
        <x:v>1</x:v>
      </x:c>
      <x:c r="J4" s="23" t="n">
        <x:f>IF(H4+I4=0,0,2*H4*I4/(H4+I4))</x:f>
        <x:v>0.6153846153846153</x:v>
      </x:c>
      <x:c r="K4" s="21" t="str">
        <x:v>博士，人工智能，清华大学（2023届）</x:v>
      </x:c>
      <x:c r="L4" s="21" t="str">
        <x:v>1年</x:v>
      </x:c>
      <x:c r="M4" s="21" t="str">
        <x:v>否</x:v>
      </x:c>
      <x:c r="N4" s="21" t="str">
        <x:v>人工已具备技能不是完整Gold Standard，指标仅供参考</x:v>
      </x:c>
      <x:c r="O4" s="21" t="n">
        <x:v>9</x:v>
      </x:c>
      <x:c r="P4" s="21" t="n">
        <x:v>4</x:v>
      </x:c>
      <x:c r="Q4" s="21" t="n">
        <x:v>4</x:v>
      </x:c>
    </x:row>
    <x:row r="5" ht="68" customHeight="1">
      <x:c r="A5" s="21" t="str">
        <x:v>CV-004-Agent-04</x:v>
      </x:c>
      <x:c r="B5" s="21" t="str">
        <x:v>AI Agent开发工程师</x:v>
      </x:c>
      <x:c r="C5" s="21" t="str">
        <x:v>Docker；Elasticsearch；Embedding；Git；LangChain；Linux；MySQL；Prompt Engineering（提示词工程）；Python；React；Redis；微服务</x:v>
      </x:c>
      <x:c r="D5" s="21" t="str">
        <x:v>LangChain；Prompt Engineering（提示词工程）；Python</x:v>
      </x:c>
      <x:c r="E5" s="21" t="str">
        <x:v>LangChain；Prompt Engineering（提示词工程）；Python</x:v>
      </x:c>
      <x:c r="F5" s="21" t="str"/>
      <x:c r="G5" s="21" t="str">
        <x:v>Docker；Elasticsearch；Embedding；Git；Linux；MySQL；React；Redis；微服务</x:v>
      </x:c>
      <x:c r="H5" s="23" t="n">
        <x:f>IF(O5=0,IF(P5=0,1,0),Q5/O5)</x:f>
        <x:v>0.25</x:v>
      </x:c>
      <x:c r="I5" s="23" t="n">
        <x:f>IF(P5=0,IF(O5=0,1,0),Q5/P5)</x:f>
        <x:v>1</x:v>
      </x:c>
      <x:c r="J5" s="23" t="n">
        <x:f>IF(H5+I5=0,0,2*H5*I5/(H5+I5))</x:f>
        <x:v>0.4</x:v>
      </x:c>
      <x:c r="K5" s="21" t="str">
        <x:v>本科，计算机科学与技术（2021届），南京邮电大学</x:v>
      </x:c>
      <x:c r="L5" s="21" t="str">
        <x:v>3年</x:v>
      </x:c>
      <x:c r="M5" s="21" t="str">
        <x:v>否</x:v>
      </x:c>
      <x:c r="N5" s="21" t="str">
        <x:v>人工已具备技能不是完整Gold Standard，指标仅供参考</x:v>
      </x:c>
      <x:c r="O5" s="21" t="n">
        <x:v>12</x:v>
      </x:c>
      <x:c r="P5" s="21" t="n">
        <x:v>3</x:v>
      </x:c>
      <x:c r="Q5" s="21" t="n">
        <x:v>3</x:v>
      </x:c>
    </x:row>
    <x:row r="6" ht="68" customHeight="1">
      <x:c r="A6" s="21" t="str">
        <x:v>CV-005-Agent-05</x:v>
      </x:c>
      <x:c r="B6" s="21" t="str">
        <x:v>AI Agent开发工程师</x:v>
      </x:c>
      <x:c r="C6" s="21" t="str">
        <x:v>Docker；Git；LangChain；MySQL；Python；RAG；React；Redis</x:v>
      </x:c>
      <x:c r="D6" s="21" t="str">
        <x:v>Docker；Python；React</x:v>
      </x:c>
      <x:c r="E6" s="21" t="str">
        <x:v>Docker；Python；React</x:v>
      </x:c>
      <x:c r="F6" s="21" t="str"/>
      <x:c r="G6" s="21" t="str">
        <x:v>Git；LangChain；MySQL；RAG；Redis</x:v>
      </x:c>
      <x:c r="H6" s="23" t="n">
        <x:f>IF(O6=0,IF(P6=0,1,0),Q6/O6)</x:f>
        <x:v>0.375</x:v>
      </x:c>
      <x:c r="I6" s="23" t="n">
        <x:f>IF(P6=0,IF(O6=0,1,0),Q6/P6)</x:f>
        <x:v>1</x:v>
      </x:c>
      <x:c r="J6" s="23" t="n">
        <x:f>IF(H6+I6=0,0,2*H6*I6/(H6+I6))</x:f>
        <x:v>0.5454545454545454</x:v>
      </x:c>
      <x:c r="K6" s="21" t="str">
        <x:v>本科，软件工程，电子科技大学</x:v>
      </x:c>
      <x:c r="L6" s="21" t="str">
        <x:v>4年</x:v>
      </x:c>
      <x:c r="M6" s="21" t="str">
        <x:v>否</x:v>
      </x:c>
      <x:c r="N6" s="21" t="str">
        <x:v>人工已具备技能不是完整Gold Standard，指标仅供参考</x:v>
      </x:c>
      <x:c r="O6" s="21" t="n">
        <x:v>8</x:v>
      </x:c>
      <x:c r="P6" s="21" t="n">
        <x:v>3</x:v>
      </x:c>
      <x:c r="Q6" s="21" t="n">
        <x:v>3</x:v>
      </x:c>
    </x:row>
    <x:row r="7" ht="68" customHeight="1">
      <x:c r="A7" s="21" t="str">
        <x:v>CV-006-Agent-06</x:v>
      </x:c>
      <x:c r="B7" s="21" t="str">
        <x:v>AI Agent开发工程师</x:v>
      </x:c>
      <x:c r="C7" s="21" t="str">
        <x:v>C++；Docker；Git；Linux；Prompt Engineering（提示词工程）；Python；大语言模型（LLM）</x:v>
      </x:c>
      <x:c r="D7" s="21" t="str">
        <x:v>C++；Prompt Engineering（提示词工程）；Python</x:v>
      </x:c>
      <x:c r="E7" s="21" t="str">
        <x:v>C++；Prompt Engineering（提示词工程）；Python</x:v>
      </x:c>
      <x:c r="F7" s="21" t="str"/>
      <x:c r="G7" s="21" t="str">
        <x:v>Docker；Git；Linux；大语言模型（LLM）</x:v>
      </x:c>
      <x:c r="H7" s="23" t="n">
        <x:f>IF(O7=0,IF(P7=0,1,0),Q7/O7)</x:f>
        <x:v>0.42857142857142855</x:v>
      </x:c>
      <x:c r="I7" s="23" t="n">
        <x:f>IF(P7=0,IF(O7=0,1,0),Q7/P7)</x:f>
        <x:v>1</x:v>
      </x:c>
      <x:c r="J7" s="23" t="n">
        <x:f>IF(H7+I7=0,0,2*H7*I7/(H7+I7))</x:f>
        <x:v>0.6</x:v>
      </x:c>
      <x:c r="K7" s="21" t="str">
        <x:v>硕士，控制工程，哈尔滨工业大学</x:v>
      </x:c>
      <x:c r="L7" s="21" t="str">
        <x:v>2年</x:v>
      </x:c>
      <x:c r="M7" s="21" t="str">
        <x:v>否</x:v>
      </x:c>
      <x:c r="N7" s="21" t="str">
        <x:v>人工已具备技能不是完整Gold Standard，指标仅供参考</x:v>
      </x:c>
      <x:c r="O7" s="21" t="n">
        <x:v>7</x:v>
      </x:c>
      <x:c r="P7" s="21" t="n">
        <x:v>3</x:v>
      </x:c>
      <x:c r="Q7" s="21" t="n">
        <x:v>3</x:v>
      </x:c>
    </x:row>
    <x:row r="8" ht="68" customHeight="1">
      <x:c r="A8" s="21" t="str">
        <x:v>CV-007-Agent-07</x:v>
      </x:c>
      <x:c r="B8" s="21" t="str">
        <x:v>AI Agent开发工程师</x:v>
      </x:c>
      <x:c r="C8" s="21" t="str">
        <x:v>Docker；Git；Java；JavaScript；Linux；MySQL；Redis</x:v>
      </x:c>
      <x:c r="D8" s="21" t="str">
        <x:v>Docker；Java；Linux；MySQL</x:v>
      </x:c>
      <x:c r="E8" s="21" t="str">
        <x:v>Docker；Java；Linux；MySQL</x:v>
      </x:c>
      <x:c r="F8" s="21" t="str"/>
      <x:c r="G8" s="21" t="str">
        <x:v>Git；JavaScript；Redis</x:v>
      </x:c>
      <x:c r="H8" s="23" t="n">
        <x:f>IF(O8=0,IF(P8=0,1,0),Q8/O8)</x:f>
        <x:v>0.5714285714285714</x:v>
      </x:c>
      <x:c r="I8" s="23" t="n">
        <x:f>IF(P8=0,IF(O8=0,1,0),Q8/P8)</x:f>
        <x:v>1</x:v>
      </x:c>
      <x:c r="J8" s="23" t="n">
        <x:f>IF(H8+I8=0,0,2*H8*I8/(H8+I8))</x:f>
        <x:v>0.7272727272727273</x:v>
      </x:c>
      <x:c r="K8" s="21" t="str">
        <x:v>本科，信息管理与信息系统（2019届），郑州大学</x:v>
      </x:c>
      <x:c r="L8" s="21" t="str">
        <x:v>4年</x:v>
      </x:c>
      <x:c r="M8" s="21" t="str">
        <x:v>否</x:v>
      </x:c>
      <x:c r="N8" s="21" t="str">
        <x:v>人工已具备技能不是完整Gold Standard，指标仅供参考</x:v>
      </x:c>
      <x:c r="O8" s="21" t="n">
        <x:v>7</x:v>
      </x:c>
      <x:c r="P8" s="21" t="n">
        <x:v>4</x:v>
      </x:c>
      <x:c r="Q8" s="21" t="n">
        <x:v>4</x:v>
      </x:c>
    </x:row>
    <x:row r="9" ht="68" customHeight="1">
      <x:c r="A9" s="21" t="str">
        <x:v>CV-008-Agent-08</x:v>
      </x:c>
      <x:c r="B9" s="21" t="str">
        <x:v>AI Agent开发工程师</x:v>
      </x:c>
      <x:c r="C9" s="21" t="str">
        <x:v>Linux；Python</x:v>
      </x:c>
      <x:c r="D9" s="21" t="str">
        <x:v>Python</x:v>
      </x:c>
      <x:c r="E9" s="21" t="str">
        <x:v>Python</x:v>
      </x:c>
      <x:c r="F9" s="21" t="str"/>
      <x:c r="G9" s="21" t="str">
        <x:v>Linux</x:v>
      </x:c>
      <x:c r="H9" s="23" t="n">
        <x:f>IF(O9=0,IF(P9=0,1,0),Q9/O9)</x:f>
        <x:v>0.5</x:v>
      </x:c>
      <x:c r="I9" s="23" t="n">
        <x:f>IF(P9=0,IF(O9=0,1,0),Q9/P9)</x:f>
        <x:v>1</x:v>
      </x:c>
      <x:c r="J9" s="23" t="n">
        <x:f>IF(H9+I9=0,0,2*H9*I9/(H9+I9))</x:f>
        <x:v>0.6666666666666666</x:v>
      </x:c>
      <x:c r="K9" s="21" t="str">
        <x:v>本科，信息与计算科学，湖南大学</x:v>
      </x:c>
      <x:c r="L9" s="21" t="str">
        <x:v>5年</x:v>
      </x:c>
      <x:c r="M9" s="21" t="str">
        <x:v>否</x:v>
      </x:c>
      <x:c r="N9" s="21" t="str">
        <x:v>人工已具备技能不是完整Gold Standard，指标仅供参考</x:v>
      </x:c>
      <x:c r="O9" s="21" t="n">
        <x:v>2</x:v>
      </x:c>
      <x:c r="P9" s="21" t="n">
        <x:v>1</x:v>
      </x:c>
      <x:c r="Q9" s="21" t="n">
        <x:v>1</x:v>
      </x:c>
    </x:row>
    <x:row r="10" ht="68" customHeight="1">
      <x:c r="A10" s="21" t="str">
        <x:v>CV-009-Agent-09</x:v>
      </x:c>
      <x:c r="B10" s="21" t="str">
        <x:v>AI Agent开发工程师</x:v>
      </x:c>
      <x:c r="C10" s="21" t="str">
        <x:v>Git；Linux；MySQL；Python；Redis；Shell脚本</x:v>
      </x:c>
      <x:c r="D10" s="21" t="str">
        <x:v>Linux；MySQL；Redis；Shell脚本</x:v>
      </x:c>
      <x:c r="E10" s="21" t="str">
        <x:v>Linux；MySQL；Redis；Shell脚本</x:v>
      </x:c>
      <x:c r="F10" s="21" t="str"/>
      <x:c r="G10" s="21" t="str">
        <x:v>Git；Python</x:v>
      </x:c>
      <x:c r="H10" s="23" t="n">
        <x:f>IF(O10=0,IF(P10=0,1,0),Q10/O10)</x:f>
        <x:v>0.6666666666666666</x:v>
      </x:c>
      <x:c r="I10" s="23" t="n">
        <x:f>IF(P10=0,IF(O10=0,1,0),Q10/P10)</x:f>
        <x:v>1</x:v>
      </x:c>
      <x:c r="J10" s="23" t="n">
        <x:f>IF(H10+I10=0,0,2*H10*I10/(H10+I10))</x:f>
        <x:v>0.8</x:v>
      </x:c>
      <x:c r="K10" s="21" t="str">
        <x:v>本科，通信工程，重庆邮电大学</x:v>
      </x:c>
      <x:c r="L10" s="21" t="str">
        <x:v>3年</x:v>
      </x:c>
      <x:c r="M10" s="21" t="str">
        <x:v>否</x:v>
      </x:c>
      <x:c r="N10" s="21" t="str">
        <x:v>人工已具备技能不是完整Gold Standard，指标仅供参考</x:v>
      </x:c>
      <x:c r="O10" s="21" t="n">
        <x:v>6</x:v>
      </x:c>
      <x:c r="P10" s="21" t="n">
        <x:v>4</x:v>
      </x:c>
      <x:c r="Q10" s="21" t="n">
        <x:v>4</x:v>
      </x:c>
    </x:row>
    <x:row r="11" ht="68" customHeight="1">
      <x:c r="A11" s="21" t="str">
        <x:v>CV-010-RAG-01</x:v>
      </x:c>
      <x:c r="B11" s="21" t="str">
        <x:v>RAG引擎研发工程师</x:v>
      </x:c>
      <x:c r="C11" s="21" t="str">
        <x:v>Docker；Embedding；Git；LangChain；Python；RAG；向量数据库；文档解析；混合检索策略；重排序</x:v>
      </x:c>
      <x:c r="D11" s="21" t="str">
        <x:v>LangChain；RAG；重排序</x:v>
      </x:c>
      <x:c r="E11" s="21" t="str">
        <x:v>LangChain；RAG；重排序</x:v>
      </x:c>
      <x:c r="F11" s="21" t="str"/>
      <x:c r="G11" s="21" t="str">
        <x:v>Docker；Embedding；Git；Python；向量数据库；文档解析；混合检索策略</x:v>
      </x:c>
      <x:c r="H11" s="23" t="n">
        <x:f>IF(O11=0,IF(P11=0,1,0),Q11/O11)</x:f>
        <x:v>0.3</x:v>
      </x:c>
      <x:c r="I11" s="23" t="n">
        <x:f>IF(P11=0,IF(O11=0,1,0),Q11/P11)</x:f>
        <x:v>1</x:v>
      </x:c>
      <x:c r="J11" s="23" t="n">
        <x:f>IF(H11+I11=0,0,2*H11*I11/(H11+I11))</x:f>
        <x:v>0.4615384615384615</x:v>
      </x:c>
      <x:c r="K11" s="21" t="str">
        <x:v>硕士，计算机科学与技术（2023届），华中科技大学</x:v>
      </x:c>
      <x:c r="L11" s="21" t="str">
        <x:v>2年</x:v>
      </x:c>
      <x:c r="M11" s="21" t="str">
        <x:v>否</x:v>
      </x:c>
      <x:c r="N11" s="21" t="str">
        <x:v>人工已具备技能不是完整Gold Standard，指标仅供参考</x:v>
      </x:c>
      <x:c r="O11" s="21" t="n">
        <x:v>10</x:v>
      </x:c>
      <x:c r="P11" s="21" t="n">
        <x:v>3</x:v>
      </x:c>
      <x:c r="Q11" s="21" t="n">
        <x:v>3</x:v>
      </x:c>
    </x:row>
    <x:row r="12" ht="68" customHeight="1">
      <x:c r="A12" s="21" t="str">
        <x:v>CV-011-RAG-02</x:v>
      </x:c>
      <x:c r="B12" s="21" t="str">
        <x:v>RAG引擎研发工程师</x:v>
      </x:c>
      <x:c r="C12" s="21" t="str">
        <x:v>LangChain；Python；PyTorch；RAG；RAG技术；大语言模型（LLM）；知识图谱；重排序</x:v>
      </x:c>
      <x:c r="D12" s="21" t="str">
        <x:v>LangChain；PyTorch；RAG；重排序</x:v>
      </x:c>
      <x:c r="E12" s="21" t="str">
        <x:v>LangChain；PyTorch；RAG；重排序</x:v>
      </x:c>
      <x:c r="F12" s="21" t="str"/>
      <x:c r="G12" s="21" t="str">
        <x:v>Python；RAG技术；大语言模型（LLM）；知识图谱</x:v>
      </x:c>
      <x:c r="H12" s="23" t="n">
        <x:f>IF(O12=0,IF(P12=0,1,0),Q12/O12)</x:f>
        <x:v>0.5</x:v>
      </x:c>
      <x:c r="I12" s="23" t="n">
        <x:f>IF(P12=0,IF(O12=0,1,0),Q12/P12)</x:f>
        <x:v>1</x:v>
      </x:c>
      <x:c r="J12" s="23" t="n">
        <x:f>IF(H12+I12=0,0,2*H12*I12/(H12+I12))</x:f>
        <x:v>0.6666666666666666</x:v>
      </x:c>
      <x:c r="K12" s="21" t="str">
        <x:v>博士，自然语言处理，北京大学（2023届）</x:v>
      </x:c>
      <x:c r="L12" s="21" t="str">
        <x:v>1年</x:v>
      </x:c>
      <x:c r="M12" s="21" t="str">
        <x:v>否</x:v>
      </x:c>
      <x:c r="N12" s="21" t="str">
        <x:v>人工已具备技能不是完整Gold Standard，指标仅供参考</x:v>
      </x:c>
      <x:c r="O12" s="21" t="n">
        <x:v>8</x:v>
      </x:c>
      <x:c r="P12" s="21" t="n">
        <x:v>4</x:v>
      </x:c>
      <x:c r="Q12" s="21" t="n">
        <x:v>4</x:v>
      </x:c>
    </x:row>
    <x:row r="13" ht="68" customHeight="1">
      <x:c r="A13" s="21" t="str">
        <x:v>CV-012-RAG-03</x:v>
      </x:c>
      <x:c r="B13" s="21" t="str">
        <x:v>RAG引擎研发工程师</x:v>
      </x:c>
      <x:c r="C13" s="21" t="str">
        <x:v>Docker；Elasticsearch；Embedding；Java；Kubernetes；LangChain；Python；RAG；重排序</x:v>
      </x:c>
      <x:c r="D13" s="21" t="str">
        <x:v>Elasticsearch；Java；LangChain；重排序</x:v>
      </x:c>
      <x:c r="E13" s="21" t="str">
        <x:v>Elasticsearch；Java；LangChain；重排序</x:v>
      </x:c>
      <x:c r="F13" s="21" t="str"/>
      <x:c r="G13" s="21" t="str">
        <x:v>Docker；Embedding；Kubernetes；Python；RAG</x:v>
      </x:c>
      <x:c r="H13" s="23" t="n">
        <x:f>IF(O13=0,IF(P13=0,1,0),Q13/O13)</x:f>
        <x:v>0.4444444444444444</x:v>
      </x:c>
      <x:c r="I13" s="23" t="n">
        <x:f>IF(P13=0,IF(O13=0,1,0),Q13/P13)</x:f>
        <x:v>1</x:v>
      </x:c>
      <x:c r="J13" s="23" t="n">
        <x:f>IF(H13+I13=0,0,2*H13*I13/(H13+I13))</x:f>
        <x:v>0.6153846153846153</x:v>
      </x:c>
      <x:c r="K13" s="21" t="str">
        <x:v>硕士，软件工程，浙江大学</x:v>
      </x:c>
      <x:c r="L13" s="21" t="str">
        <x:v>3年</x:v>
      </x:c>
      <x:c r="M13" s="21" t="str">
        <x:v>否</x:v>
      </x:c>
      <x:c r="N13" s="21" t="str">
        <x:v>人工已具备技能不是完整Gold Standard，指标仅供参考</x:v>
      </x:c>
      <x:c r="O13" s="21" t="n">
        <x:v>9</x:v>
      </x:c>
      <x:c r="P13" s="21" t="n">
        <x:v>4</x:v>
      </x:c>
      <x:c r="Q13" s="21" t="n">
        <x:v>4</x:v>
      </x:c>
    </x:row>
    <x:row r="14" ht="68" customHeight="1">
      <x:c r="A14" s="21" t="str">
        <x:v>CV-013-RAG-04</x:v>
      </x:c>
      <x:c r="B14" s="21" t="str">
        <x:v>RAG引擎研发工程师</x:v>
      </x:c>
      <x:c r="C14" s="21" t="str">
        <x:v>Docker；Elasticsearch；Git；LangChain；Linux；MySQL；PostgreSQL；Python；RAG；RAG技术；向量数据库</x:v>
      </x:c>
      <x:c r="D14" s="21" t="str">
        <x:v>Docker；Elasticsearch；LangChain；Python</x:v>
      </x:c>
      <x:c r="E14" s="21" t="str">
        <x:v>Docker；Elasticsearch；LangChain；Python</x:v>
      </x:c>
      <x:c r="F14" s="21" t="str"/>
      <x:c r="G14" s="21" t="str">
        <x:v>Git；Linux；MySQL；PostgreSQL；RAG；RAG技术；向量数据库</x:v>
      </x:c>
      <x:c r="H14" s="23" t="n">
        <x:f>IF(O14=0,IF(P14=0,1,0),Q14/O14)</x:f>
        <x:v>0.36363636363636365</x:v>
      </x:c>
      <x:c r="I14" s="23" t="n">
        <x:f>IF(P14=0,IF(O14=0,1,0),Q14/P14)</x:f>
        <x:v>1</x:v>
      </x:c>
      <x:c r="J14" s="23" t="n">
        <x:f>IF(H14+I14=0,0,2*H14*I14/(H14+I14))</x:f>
        <x:v>0.5333333333333333</x:v>
      </x:c>
      <x:c r="K14" s="21" t="str">
        <x:v>本科，软件工程（2020届），西安电子科技大学</x:v>
      </x:c>
      <x:c r="L14" s="21" t="str">
        <x:v>3年</x:v>
      </x:c>
      <x:c r="M14" s="21" t="str">
        <x:v>否</x:v>
      </x:c>
      <x:c r="N14" s="21" t="str">
        <x:v>人工已具备技能不是完整Gold Standard，指标仅供参考</x:v>
      </x:c>
      <x:c r="O14" s="21" t="n">
        <x:v>11</x:v>
      </x:c>
      <x:c r="P14" s="21" t="n">
        <x:v>4</x:v>
      </x:c>
      <x:c r="Q14" s="21" t="n">
        <x:v>4</x:v>
      </x:c>
    </x:row>
    <x:row r="15" ht="68" customHeight="1">
      <x:c r="A15" s="21" t="str">
        <x:v>CV-014-RAG-05</x:v>
      </x:c>
      <x:c r="B15" s="21" t="str">
        <x:v>RAG引擎研发工程师</x:v>
      </x:c>
      <x:c r="C15" s="21" t="str">
        <x:v>Git；Python；RAG技术；知识图谱</x:v>
      </x:c>
      <x:c r="D15" s="21" t="str">
        <x:v>Python</x:v>
      </x:c>
      <x:c r="E15" s="21" t="str">
        <x:v>Python</x:v>
      </x:c>
      <x:c r="F15" s="21" t="str"/>
      <x:c r="G15" s="21" t="str">
        <x:v>Git；RAG技术；知识图谱</x:v>
      </x:c>
      <x:c r="H15" s="23" t="n">
        <x:f>IF(O15=0,IF(P15=0,1,0),Q15/O15)</x:f>
        <x:v>0.25</x:v>
      </x:c>
      <x:c r="I15" s="23" t="n">
        <x:f>IF(P15=0,IF(O15=0,1,0),Q15/P15)</x:f>
        <x:v>1</x:v>
      </x:c>
      <x:c r="J15" s="23" t="n">
        <x:f>IF(H15+I15=0,0,2*H15*I15/(H15+I15))</x:f>
        <x:v>0.4</x:v>
      </x:c>
      <x:c r="K15" s="21" t="str">
        <x:v>本科，信息管理与信息系统，对外经济贸易大学</x:v>
      </x:c>
      <x:c r="L15" s="21" t="str">
        <x:v>4年</x:v>
      </x:c>
      <x:c r="M15" s="21" t="str">
        <x:v>否</x:v>
      </x:c>
      <x:c r="N15" s="21" t="str">
        <x:v>人工已具备技能不是完整Gold Standard，指标仅供参考</x:v>
      </x:c>
      <x:c r="O15" s="21" t="n">
        <x:v>4</x:v>
      </x:c>
      <x:c r="P15" s="21" t="n">
        <x:v>1</x:v>
      </x:c>
      <x:c r="Q15" s="21" t="n">
        <x:v>1</x:v>
      </x:c>
    </x:row>
    <x:row r="16" ht="68" customHeight="1">
      <x:c r="A16" s="21" t="str">
        <x:v>CV-015-RAG-06</x:v>
      </x:c>
      <x:c r="B16" s="21" t="str">
        <x:v>RAG引擎研发工程师</x:v>
      </x:c>
      <x:c r="C16" s="21" t="str">
        <x:v>Docker；Git；LangChain；Python；RAG；RAG技术；React；向量数据库</x:v>
      </x:c>
      <x:c r="D16" s="21" t="str">
        <x:v>LangChain；Python；React</x:v>
      </x:c>
      <x:c r="E16" s="21" t="str">
        <x:v>LangChain；Python；React</x:v>
      </x:c>
      <x:c r="F16" s="21" t="str"/>
      <x:c r="G16" s="21" t="str">
        <x:v>Docker；Git；RAG；RAG技术；向量数据库</x:v>
      </x:c>
      <x:c r="H16" s="23" t="n">
        <x:f>IF(O16=0,IF(P16=0,1,0),Q16/O16)</x:f>
        <x:v>0.375</x:v>
      </x:c>
      <x:c r="I16" s="23" t="n">
        <x:f>IF(P16=0,IF(O16=0,1,0),Q16/P16)</x:f>
        <x:v>1</x:v>
      </x:c>
      <x:c r="J16" s="23" t="n">
        <x:f>IF(H16+I16=0,0,2*H16*I16/(H16+I16))</x:f>
        <x:v>0.5454545454545454</x:v>
      </x:c>
      <x:c r="K16" s="21" t="str">
        <x:v>本科，计算机科学与技术，武汉理工大学</x:v>
      </x:c>
      <x:c r="L16" s="21" t="str">
        <x:v>2年</x:v>
      </x:c>
      <x:c r="M16" s="21" t="str">
        <x:v>否</x:v>
      </x:c>
      <x:c r="N16" s="21" t="str">
        <x:v>人工已具备技能不是完整Gold Standard，指标仅供参考</x:v>
      </x:c>
      <x:c r="O16" s="21" t="n">
        <x:v>8</x:v>
      </x:c>
      <x:c r="P16" s="21" t="n">
        <x:v>3</x:v>
      </x:c>
      <x:c r="Q16" s="21" t="n">
        <x:v>3</x:v>
      </x:c>
    </x:row>
    <x:row r="17" ht="68" customHeight="1">
      <x:c r="A17" s="21" t="str">
        <x:v>CV-016-RAG-07</x:v>
      </x:c>
      <x:c r="B17" s="21" t="str">
        <x:v>RAG引擎研发工程师</x:v>
      </x:c>
      <x:c r="C17" s="21" t="str">
        <x:v>Docker；Git；Java；JavaScript；Linux；Redis；微服务</x:v>
      </x:c>
      <x:c r="D17" s="21" t="str">
        <x:v>Docker；Java；Redis</x:v>
      </x:c>
      <x:c r="E17" s="21" t="str">
        <x:v>Docker；Java；Redis</x:v>
      </x:c>
      <x:c r="F17" s="21" t="str"/>
      <x:c r="G17" s="21" t="str">
        <x:v>Git；JavaScript；Linux；微服务</x:v>
      </x:c>
      <x:c r="H17" s="23" t="n">
        <x:f>IF(O17=0,IF(P17=0,1,0),Q17/O17)</x:f>
        <x:v>0.42857142857142855</x:v>
      </x:c>
      <x:c r="I17" s="23" t="n">
        <x:f>IF(P17=0,IF(O17=0,1,0),Q17/P17)</x:f>
        <x:v>1</x:v>
      </x:c>
      <x:c r="J17" s="23" t="n">
        <x:f>IF(H17+I17=0,0,2*H17*I17/(H17+I17))</x:f>
        <x:v>0.6</x:v>
      </x:c>
      <x:c r="K17" s="21" t="str">
        <x:v>本科，信息管理与信息系统，山东财经大学</x:v>
      </x:c>
      <x:c r="L17" s="21" t="str">
        <x:v>4年</x:v>
      </x:c>
      <x:c r="M17" s="21" t="str">
        <x:v>否</x:v>
      </x:c>
      <x:c r="N17" s="21" t="str">
        <x:v>人工已具备技能不是完整Gold Standard，指标仅供参考</x:v>
      </x:c>
      <x:c r="O17" s="21" t="n">
        <x:v>7</x:v>
      </x:c>
      <x:c r="P17" s="21" t="n">
        <x:v>3</x:v>
      </x:c>
      <x:c r="Q17" s="21" t="n">
        <x:v>3</x:v>
      </x:c>
    </x:row>
    <x:row r="18" ht="68" customHeight="1">
      <x:c r="A18" s="21" t="str">
        <x:v>CV-017-RAG-08</x:v>
      </x:c>
      <x:c r="B18" s="21" t="str">
        <x:v>RAG引擎研发工程师</x:v>
      </x:c>
      <x:c r="C18" s="21" t="str">
        <x:v>Linux；Python</x:v>
      </x:c>
      <x:c r="D18" s="21" t="str">
        <x:v>Python</x:v>
      </x:c>
      <x:c r="E18" s="21" t="str">
        <x:v>Python</x:v>
      </x:c>
      <x:c r="F18" s="21" t="str"/>
      <x:c r="G18" s="21" t="str">
        <x:v>Linux</x:v>
      </x:c>
      <x:c r="H18" s="23" t="n">
        <x:f>IF(O18=0,IF(P18=0,1,0),Q18/O18)</x:f>
        <x:v>0.5</x:v>
      </x:c>
      <x:c r="I18" s="23" t="n">
        <x:f>IF(P18=0,IF(O18=0,1,0),Q18/P18)</x:f>
        <x:v>1</x:v>
      </x:c>
      <x:c r="J18" s="23" t="n">
        <x:f>IF(H18+I18=0,0,2*H18*I18/(H18+I18))</x:f>
        <x:v>0.6666666666666666</x:v>
      </x:c>
      <x:c r="K18" s="21" t="str">
        <x:v>本科，自动化，北京科技大学</x:v>
      </x:c>
      <x:c r="L18" s="21" t="str">
        <x:v>3年</x:v>
      </x:c>
      <x:c r="M18" s="21" t="str">
        <x:v>否</x:v>
      </x:c>
      <x:c r="N18" s="21" t="str">
        <x:v>人工已具备技能不是完整Gold Standard，指标仅供参考</x:v>
      </x:c>
      <x:c r="O18" s="21" t="n">
        <x:v>2</x:v>
      </x:c>
      <x:c r="P18" s="21" t="n">
        <x:v>1</x:v>
      </x:c>
      <x:c r="Q18" s="21" t="n">
        <x:v>1</x:v>
      </x:c>
    </x:row>
    <x:row r="19" ht="68" customHeight="1">
      <x:c r="A19" s="21" t="str">
        <x:v>CV-018-RAG-09</x:v>
      </x:c>
      <x:c r="B19" s="21" t="str">
        <x:v>RAG引擎研发工程师</x:v>
      </x:c>
      <x:c r="C19" s="21" t="str">
        <x:v>Linux；Python；Shell脚本</x:v>
      </x:c>
      <x:c r="D19" s="21" t="str">
        <x:v>Python</x:v>
      </x:c>
      <x:c r="E19" s="21" t="str">
        <x:v>Python</x:v>
      </x:c>
      <x:c r="F19" s="21" t="str"/>
      <x:c r="G19" s="21" t="str">
        <x:v>Linux；Shell脚本</x:v>
      </x:c>
      <x:c r="H19" s="23" t="n">
        <x:f>IF(O19=0,IF(P19=0,1,0),Q19/O19)</x:f>
        <x:v>0.3333333333333333</x:v>
      </x:c>
      <x:c r="I19" s="23" t="n">
        <x:f>IF(P19=0,IF(O19=0,1,0),Q19/P19)</x:f>
        <x:v>1</x:v>
      </x:c>
      <x:c r="J19" s="23" t="n">
        <x:f>IF(H19+I19=0,0,2*H19*I19/(H19+I19))</x:f>
        <x:v>0.5</x:v>
      </x:c>
      <x:c r="K19" s="21" t="str">
        <x:v>本科，电子信息工程，南京理工大学</x:v>
      </x:c>
      <x:c r="L19" s="21" t="str">
        <x:v>5年</x:v>
      </x:c>
      <x:c r="M19" s="21" t="str">
        <x:v>否</x:v>
      </x:c>
      <x:c r="N19" s="21" t="str">
        <x:v>人工已具备技能不是完整Gold Standard，指标仅供参考</x:v>
      </x:c>
      <x:c r="O19" s="21" t="n">
        <x:v>3</x:v>
      </x:c>
      <x:c r="P19" s="21" t="n">
        <x:v>1</x:v>
      </x:c>
      <x:c r="Q19" s="21" t="n">
        <x:v>1</x:v>
      </x:c>
    </x:row>
    <x:row r="20" ht="68" customHeight="1">
      <x:c r="A20" s="21" t="str">
        <x:v>CV-019-SEC-01</x:v>
      </x:c>
      <x:c r="B20" s="21" t="str">
        <x:v>AI安全工程师</x:v>
      </x:c>
      <x:c r="C20" s="21" t="str">
        <x:v>Python；PyTorch；大语言模型（LLM）</x:v>
      </x:c>
      <x:c r="D20" s="21" t="str">
        <x:v>PyTorch；大语言模型（LLM）</x:v>
      </x:c>
      <x:c r="E20" s="21" t="str">
        <x:v>PyTorch；大语言模型（LLM）</x:v>
      </x:c>
      <x:c r="F20" s="21" t="str"/>
      <x:c r="G20" s="21" t="str">
        <x:v>Python</x:v>
      </x:c>
      <x:c r="H20" s="23" t="n">
        <x:f>IF(O20=0,IF(P20=0,1,0),Q20/O20)</x:f>
        <x:v>0.6666666666666666</x:v>
      </x:c>
      <x:c r="I20" s="23" t="n">
        <x:f>IF(P20=0,IF(O20=0,1,0),Q20/P20)</x:f>
        <x:v>1</x:v>
      </x:c>
      <x:c r="J20" s="23" t="n">
        <x:f>IF(H20+I20=0,0,2*H20*I20/(H20+I20))</x:f>
        <x:v>0.8</x:v>
      </x:c>
      <x:c r="K20" s="21" t="str">
        <x:v>硕士，网络空间安全，北京邮电大学</x:v>
      </x:c>
      <x:c r="L20" s="21" t="str">
        <x:v>2年</x:v>
      </x:c>
      <x:c r="M20" s="21" t="str">
        <x:v>否</x:v>
      </x:c>
      <x:c r="N20" s="21" t="str">
        <x:v>人工已具备技能不是完整Gold Standard，指标仅供参考</x:v>
      </x:c>
      <x:c r="O20" s="21" t="n">
        <x:v>3</x:v>
      </x:c>
      <x:c r="P20" s="21" t="n">
        <x:v>2</x:v>
      </x:c>
      <x:c r="Q20" s="21" t="n">
        <x:v>2</x:v>
      </x:c>
    </x:row>
    <x:row r="21" ht="68" customHeight="1">
      <x:c r="A21" s="21" t="str">
        <x:v>CV-020-SEC-02</x:v>
      </x:c>
      <x:c r="B21" s="21" t="str">
        <x:v>AI安全工程师</x:v>
      </x:c>
      <x:c r="C21" s="21" t="str">
        <x:v>Python；PyTorch</x:v>
      </x:c>
      <x:c r="D21" s="21" t="str">
        <x:v>PyTorch</x:v>
      </x:c>
      <x:c r="E21" s="21" t="str">
        <x:v>PyTorch</x:v>
      </x:c>
      <x:c r="F21" s="21" t="str"/>
      <x:c r="G21" s="21" t="str">
        <x:v>Python</x:v>
      </x:c>
      <x:c r="H21" s="23" t="n">
        <x:f>IF(O21=0,IF(P21=0,1,0),Q21/O21)</x:f>
        <x:v>0.5</x:v>
      </x:c>
      <x:c r="I21" s="23" t="n">
        <x:f>IF(P21=0,IF(O21=0,1,0),Q21/P21)</x:f>
        <x:v>1</x:v>
      </x:c>
      <x:c r="J21" s="23" t="n">
        <x:f>IF(H21+I21=0,0,2*H21*I21/(H21+I21))</x:f>
        <x:v>0.6666666666666666</x:v>
      </x:c>
      <x:c r="K21" s="21" t="str">
        <x:v>博士，计算机安全，中国科学院大学（2023届）</x:v>
      </x:c>
      <x:c r="L21" s="21" t="str">
        <x:v>1年</x:v>
      </x:c>
      <x:c r="M21" s="21" t="str">
        <x:v>否</x:v>
      </x:c>
      <x:c r="N21" s="21" t="str">
        <x:v>人工已具备技能不是完整Gold Standard，指标仅供参考</x:v>
      </x:c>
      <x:c r="O21" s="21" t="n">
        <x:v>2</x:v>
      </x:c>
      <x:c r="P21" s="21" t="n">
        <x:v>1</x:v>
      </x:c>
      <x:c r="Q21" s="21" t="n">
        <x:v>1</x:v>
      </x:c>
    </x:row>
    <x:row r="22" ht="68" customHeight="1">
      <x:c r="A22" s="21" t="str">
        <x:v>CV-021-SEC-03</x:v>
      </x:c>
      <x:c r="B22" s="21" t="str">
        <x:v>AI安全工程师</x:v>
      </x:c>
      <x:c r="C22" s="21" t="str">
        <x:v>AI红队测试；Python；PyTorch；RAG；大语言模型（LLM）</x:v>
      </x:c>
      <x:c r="D22" s="21" t="str">
        <x:v>PyTorch</x:v>
      </x:c>
      <x:c r="E22" s="21" t="str">
        <x:v>PyTorch</x:v>
      </x:c>
      <x:c r="F22" s="21" t="str"/>
      <x:c r="G22" s="21" t="str">
        <x:v>AI红队测试；Python；RAG；大语言模型（LLM）</x:v>
      </x:c>
      <x:c r="H22" s="23" t="n">
        <x:f>IF(O22=0,IF(P22=0,1,0),Q22/O22)</x:f>
        <x:v>0.2</x:v>
      </x:c>
      <x:c r="I22" s="23" t="n">
        <x:f>IF(P22=0,IF(O22=0,1,0),Q22/P22)</x:f>
        <x:v>1</x:v>
      </x:c>
      <x:c r="J22" s="23" t="n">
        <x:f>IF(H22+I22=0,0,2*H22*I22/(H22+I22))</x:f>
        <x:v>0.33333333333333337</x:v>
      </x:c>
      <x:c r="K22" s="21" t="str">
        <x:v>硕士，信息安全，上海交通大学</x:v>
      </x:c>
      <x:c r="L22" s="21" t="str">
        <x:v>3年</x:v>
      </x:c>
      <x:c r="M22" s="21" t="str">
        <x:v>否</x:v>
      </x:c>
      <x:c r="N22" s="21" t="str">
        <x:v>人工已具备技能不是完整Gold Standard，指标仅供参考</x:v>
      </x:c>
      <x:c r="O22" s="21" t="n">
        <x:v>5</x:v>
      </x:c>
      <x:c r="P22" s="21" t="n">
        <x:v>1</x:v>
      </x:c>
      <x:c r="Q22" s="21" t="n">
        <x:v>1</x:v>
      </x:c>
    </x:row>
    <x:row r="23" ht="68" customHeight="1">
      <x:c r="A23" s="21" t="str">
        <x:v>CV-022-SEC-04</x:v>
      </x:c>
      <x:c r="B23" s="21" t="str">
        <x:v>AI安全工程师</x:v>
      </x:c>
      <x:c r="C23" s="21" t="str">
        <x:v>Linux；Python</x:v>
      </x:c>
      <x:c r="D23" s="21" t="str">
        <x:v>Python</x:v>
      </x:c>
      <x:c r="E23" s="21" t="str">
        <x:v>Python</x:v>
      </x:c>
      <x:c r="F23" s="21" t="str"/>
      <x:c r="G23" s="21" t="str">
        <x:v>Linux</x:v>
      </x:c>
      <x:c r="H23" s="23" t="n">
        <x:f>IF(O23=0,IF(P23=0,1,0),Q23/O23)</x:f>
        <x:v>0.5</x:v>
      </x:c>
      <x:c r="I23" s="23" t="n">
        <x:f>IF(P23=0,IF(O23=0,1,0),Q23/P23)</x:f>
        <x:v>1</x:v>
      </x:c>
      <x:c r="J23" s="23" t="n">
        <x:f>IF(H23+I23=0,0,2*H23*I23/(H23+I23))</x:f>
        <x:v>0.6666666666666666</x:v>
      </x:c>
      <x:c r="K23" s="21" t="str">
        <x:v>本科，信息安全，杭州电子科技大学</x:v>
      </x:c>
      <x:c r="L23" s="21" t="str">
        <x:v>3年</x:v>
      </x:c>
      <x:c r="M23" s="21" t="str">
        <x:v>否</x:v>
      </x:c>
      <x:c r="N23" s="21" t="str">
        <x:v>人工已具备技能不是完整Gold Standard，指标仅供参考</x:v>
      </x:c>
      <x:c r="O23" s="21" t="n">
        <x:v>2</x:v>
      </x:c>
      <x:c r="P23" s="21" t="n">
        <x:v>1</x:v>
      </x:c>
      <x:c r="Q23" s="21" t="n">
        <x:v>1</x:v>
      </x:c>
    </x:row>
    <x:row r="24" ht="68" customHeight="1">
      <x:c r="A24" s="21" t="str">
        <x:v>CV-023-SEC-05</x:v>
      </x:c>
      <x:c r="B24" s="21" t="str">
        <x:v>AI安全工程师</x:v>
      </x:c>
      <x:c r="C24" s="21" t="str">
        <x:v>Docker；Git；LangChain；Linux；Python；PyTorch</x:v>
      </x:c>
      <x:c r="D24" s="21" t="str">
        <x:v>Docker；LangChain；Python；PyTorch</x:v>
      </x:c>
      <x:c r="E24" s="21" t="str">
        <x:v>Docker；LangChain；Python；PyTorch</x:v>
      </x:c>
      <x:c r="F24" s="21" t="str"/>
      <x:c r="G24" s="21" t="str">
        <x:v>Git；Linux</x:v>
      </x:c>
      <x:c r="H24" s="23" t="n">
        <x:f>IF(O24=0,IF(P24=0,1,0),Q24/O24)</x:f>
        <x:v>0.6666666666666666</x:v>
      </x:c>
      <x:c r="I24" s="23" t="n">
        <x:f>IF(P24=0,IF(O24=0,1,0),Q24/P24)</x:f>
        <x:v>1</x:v>
      </x:c>
      <x:c r="J24" s="23" t="n">
        <x:f>IF(H24+I24=0,0,2*H24*I24/(H24+I24))</x:f>
        <x:v>0.8</x:v>
      </x:c>
      <x:c r="K24" s="21" t="str">
        <x:v>硕士，计算机技术，东南大学</x:v>
      </x:c>
      <x:c r="L24" s="21" t="str">
        <x:v>2年</x:v>
      </x:c>
      <x:c r="M24" s="21" t="str">
        <x:v>否</x:v>
      </x:c>
      <x:c r="N24" s="21" t="str">
        <x:v>人工已具备技能不是完整Gold Standard，指标仅供参考</x:v>
      </x:c>
      <x:c r="O24" s="21" t="n">
        <x:v>6</x:v>
      </x:c>
      <x:c r="P24" s="21" t="n">
        <x:v>4</x:v>
      </x:c>
      <x:c r="Q24" s="21" t="n">
        <x:v>4</x:v>
      </x:c>
    </x:row>
    <x:row r="25" ht="68" customHeight="1">
      <x:c r="A25" s="21" t="str">
        <x:v>CV-024-SEC-06</x:v>
      </x:c>
      <x:c r="B25" s="21" t="str">
        <x:v>AI安全工程师</x:v>
      </x:c>
      <x:c r="C25" s="21" t="str">
        <x:v>Linux；Python</x:v>
      </x:c>
      <x:c r="D25" s="21" t="str">
        <x:v>Python</x:v>
      </x:c>
      <x:c r="E25" s="21" t="str">
        <x:v>Python</x:v>
      </x:c>
      <x:c r="F25" s="21" t="str"/>
      <x:c r="G25" s="21" t="str">
        <x:v>Linux</x:v>
      </x:c>
      <x:c r="H25" s="23" t="n">
        <x:f>IF(O25=0,IF(P25=0,1,0),Q25/O25)</x:f>
        <x:v>0.5</x:v>
      </x:c>
      <x:c r="I25" s="23" t="n">
        <x:f>IF(P25=0,IF(O25=0,1,0),Q25/P25)</x:f>
        <x:v>1</x:v>
      </x:c>
      <x:c r="J25" s="23" t="n">
        <x:f>IF(H25+I25=0,0,2*H25*I25/(H25+I25))</x:f>
        <x:v>0.6666666666666666</x:v>
      </x:c>
      <x:c r="K25" s="21" t="str">
        <x:v>本科，计算机科学与技术，吉林大学</x:v>
      </x:c>
      <x:c r="L25" s="21" t="str">
        <x:v>4年</x:v>
      </x:c>
      <x:c r="M25" s="21" t="str">
        <x:v>否</x:v>
      </x:c>
      <x:c r="N25" s="21" t="str">
        <x:v>人工已具备技能不是完整Gold Standard，指标仅供参考</x:v>
      </x:c>
      <x:c r="O25" s="21" t="n">
        <x:v>2</x:v>
      </x:c>
      <x:c r="P25" s="21" t="n">
        <x:v>1</x:v>
      </x:c>
      <x:c r="Q25" s="21" t="n">
        <x:v>1</x:v>
      </x:c>
    </x:row>
    <x:row r="26" ht="68" customHeight="1">
      <x:c r="A26" s="21" t="str">
        <x:v>CV-025-SEC-07</x:v>
      </x:c>
      <x:c r="B26" s="21" t="str">
        <x:v>AI安全工程师</x:v>
      </x:c>
      <x:c r="C26" s="21" t="str">
        <x:v>Docker；Linux；MySQL；Python；Shell脚本</x:v>
      </x:c>
      <x:c r="D26" s="21" t="str">
        <x:v>Docker；Linux；MySQL；Shell脚本</x:v>
      </x:c>
      <x:c r="E26" s="21" t="str">
        <x:v>Docker；Linux；MySQL；Shell脚本</x:v>
      </x:c>
      <x:c r="F26" s="21" t="str"/>
      <x:c r="G26" s="21" t="str">
        <x:v>Python</x:v>
      </x:c>
      <x:c r="H26" s="23" t="n">
        <x:f>IF(O26=0,IF(P26=0,1,0),Q26/O26)</x:f>
        <x:v>0.8</x:v>
      </x:c>
      <x:c r="I26" s="23" t="n">
        <x:f>IF(P26=0,IF(O26=0,1,0),Q26/P26)</x:f>
        <x:v>1</x:v>
      </x:c>
      <x:c r="J26" s="23" t="n">
        <x:f>IF(H26+I26=0,0,2*H26*I26/(H26+I26))</x:f>
        <x:v>0.888888888888889</x:v>
      </x:c>
      <x:c r="K26" s="21" t="str">
        <x:v>本科，计算机科学与技术，天津工业大学</x:v>
      </x:c>
      <x:c r="L26" s="21" t="str">
        <x:v>4年</x:v>
      </x:c>
      <x:c r="M26" s="21" t="str">
        <x:v>否</x:v>
      </x:c>
      <x:c r="N26" s="21" t="str">
        <x:v>人工已具备技能不是完整Gold Standard，指标仅供参考</x:v>
      </x:c>
      <x:c r="O26" s="21" t="n">
        <x:v>5</x:v>
      </x:c>
      <x:c r="P26" s="21" t="n">
        <x:v>4</x:v>
      </x:c>
      <x:c r="Q26" s="21" t="n">
        <x:v>4</x:v>
      </x:c>
    </x:row>
    <x:row r="27" ht="68" customHeight="1">
      <x:c r="A27" s="21" t="str">
        <x:v>CV-026-SEC-08</x:v>
      </x:c>
      <x:c r="B27" s="21" t="str">
        <x:v>AI安全工程师</x:v>
      </x:c>
      <x:c r="C27" s="21" t="str"/>
      <x:c r="D27" s="21" t="str"/>
      <x:c r="E27" s="21" t="str"/>
      <x:c r="F27" s="21" t="str"/>
      <x:c r="G27" s="21" t="str"/>
      <x:c r="H27" s="23" t="n">
        <x:f>IF(O27=0,IF(P27=0,1,0),Q27/O27)</x:f>
        <x:v>1</x:v>
      </x:c>
      <x:c r="I27" s="23" t="n">
        <x:f>IF(P27=0,IF(O27=0,1,0),Q27/P27)</x:f>
        <x:v>1</x:v>
      </x:c>
      <x:c r="J27" s="23" t="n">
        <x:f>IF(H27+I27=0,0,2*H27*I27/(H27+I27))</x:f>
        <x:v>1</x:v>
      </x:c>
      <x:c r="K27" s="21" t="str">
        <x:v>本科，工商管理，西南财经大学</x:v>
      </x:c>
      <x:c r="L27" s="21" t="str">
        <x:v>3年</x:v>
      </x:c>
      <x:c r="M27" s="21" t="str">
        <x:v>是</x:v>
      </x:c>
      <x:c r="N27" s="21" t="str">
        <x:v>人工已具备技能不是完整Gold Standard，指标仅供参考</x:v>
      </x:c>
      <x:c r="O27" s="21" t="n">
        <x:v>0</x:v>
      </x:c>
      <x:c r="P27" s="21" t="n">
        <x:v>0</x:v>
      </x:c>
      <x:c r="Q27" s="21" t="n">
        <x:v>0</x:v>
      </x:c>
    </x:row>
    <x:row r="28" ht="68" customHeight="1">
      <x:c r="A28" s="21" t="str">
        <x:v>CV-027-SEC-09</x:v>
      </x:c>
      <x:c r="B28" s="21" t="str">
        <x:v>AI安全工程师</x:v>
      </x:c>
      <x:c r="C28" s="21" t="str">
        <x:v>Linux；Python</x:v>
      </x:c>
      <x:c r="D28" s="21" t="str"/>
      <x:c r="E28" s="21" t="str"/>
      <x:c r="F28" s="21" t="str"/>
      <x:c r="G28" s="21" t="str">
        <x:v>Linux；Python</x:v>
      </x:c>
      <x:c r="H28" s="23" t="n">
        <x:f>IF(O28=0,IF(P28=0,1,0),Q28/O28)</x:f>
        <x:v>0</x:v>
      </x:c>
      <x:c r="I28" s="23" t="n">
        <x:f>IF(P28=0,IF(O28=0,1,0),Q28/P28)</x:f>
        <x:v>0</x:v>
      </x:c>
      <x:c r="J28" s="23" t="n">
        <x:f>IF(H28+I28=0,0,2*H28*I28/(H28+I28))</x:f>
        <x:v>0</x:v>
      </x:c>
      <x:c r="K28" s="21" t="str">
        <x:v>本科，电子信息工程，华南理工大学</x:v>
      </x:c>
      <x:c r="L28" s="21" t="str">
        <x:v>5年</x:v>
      </x:c>
      <x:c r="M28" s="21" t="str">
        <x:v>否</x:v>
      </x:c>
      <x:c r="N28" s="21" t="str">
        <x:v>人工已具备技能不是完整Gold Standard，指标仅供参考</x:v>
      </x:c>
      <x:c r="O28" s="21" t="n">
        <x:v>2</x:v>
      </x:c>
      <x:c r="P28" s="21" t="n">
        <x:v>0</x:v>
      </x:c>
      <x:c r="Q28" s="21" t="n">
        <x:v>0</x:v>
      </x:c>
    </x:row>
  </x:sheetData>
  <x:conditionalFormatting sqref="M2:M28">
    <x:cfRule type="containsText" dxfId="0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545cdb80a0954b1c"/>
  </x:tableParts>
</x:worksheet>
</file>